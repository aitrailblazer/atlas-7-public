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184dd19121d47a5" /></Relationships>
</file>

<file path=xl/workbook.xml><?xml version="1.0" encoding="utf-8"?>
<x:workbook xmlns:x="http://schemas.openxmlformats.org/spreadsheetml/2006/main">
  <x:sheets>
    <x:sheet xmlns:r="http://schemas.openxmlformats.org/officeDocument/2006/relationships" name="Tracker" sheetId="1" r:id="R2ce9f20183d54ead"/>
    <x:sheet xmlns:r="http://schemas.openxmlformats.org/officeDocument/2006/relationships" name="Dashboard" sheetId="2" r:id="R9932a836032a4ee1"/>
    <x:sheet xmlns:r="http://schemas.openxmlformats.org/officeDocument/2006/relationships" name="Lists" sheetId="3" r:id="Rbff7b49499ae440b"/>
    <x:sheet xmlns:r="http://schemas.openxmlformats.org/officeDocument/2006/relationships" name="Instructions" sheetId="4" r:id="R47165b1a69d24af0"/>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efbfdcad55f4497" /><Relationship Type="http://schemas.openxmlformats.org/officeDocument/2006/relationships/theme" Target="/xl/theme/theme1.xml" Id="Rf4db7f8fb9ff44eb" /><Relationship Type="http://schemas.openxmlformats.org/officeDocument/2006/relationships/sharedStrings" Target="/xl/sharedStrings.xml" Id="R9e63aa3699624f78" /><Relationship Type="http://schemas.openxmlformats.org/officeDocument/2006/relationships/worksheet" Target="/xl/worksheets/sheet1.xml" Id="R2ce9f20183d54ead" /><Relationship Type="http://schemas.openxmlformats.org/officeDocument/2006/relationships/worksheet" Target="/xl/worksheets/sheet2.xml" Id="R9932a836032a4ee1" /><Relationship Type="http://schemas.openxmlformats.org/officeDocument/2006/relationships/worksheet" Target="/xl/worksheets/sheet3.xml" Id="Rbff7b49499ae440b" /><Relationship Type="http://schemas.openxmlformats.org/officeDocument/2006/relationships/worksheet" Target="/xl/worksheets/sheet4.xml" Id="R47165b1a69d24af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t="str">
        <x:v>F-015</x:v>
      </x:c>
      <x:c r="B16" s="14" t="str">
        <x:v>Alpha Circle Offer Surface</x:v>
      </x:c>
      <x:c r="C16" s="14" t="str">
        <x:v>Membership / Offer</x:v>
      </x:c>
      <x:c r="D16" s="14" t="str">
        <x:v>src/app.js, README.md</x:v>
      </x:c>
      <x:c r="E16" s="14" t="str">
        <x:v>Alpha Circle panel and README Alpha Circle section</x:v>
      </x:c>
      <x:c r="F16" s="14" t="str">
        <x:v>Visitor</x:v>
      </x:c>
      <x:c r="G16" s="14" t="str">
        <x:v>As a prospective Alpha member, I want the public repo to explain what Alpha Circle actually unlocks so that I understand the value behind the join flow.</x:v>
      </x:c>
      <x:c r="H16" s="14" t="str">
        <x:v>The public repo should explain that Alpha Circle unlocks the private ATLAS-7 repo, member-only playbooks, and the deeper MCP operating layer behind the public surface.</x:v>
      </x:c>
      <x:c r="I16" s="14" t="str">
        <x:v>Code inspection confirms the site now includes an Alpha Circle panel with unlock details and the README contains a matching Alpha Circle section.</x:v>
      </x:c>
      <x:c r="J16" s="14" t="str">
        <x:v>Verified</x:v>
      </x:c>
      <x:c r="K16" s="14" t="str">
        <x:v>Code inspection</x:v>
      </x:c>
      <x:c r="L16" s="14" t="str">
        <x:v>Inspect the Alpha Circle panel in src/app.js and the Alpha Circle section in README.md for the private repo, member workflow, and MCP unlock explanation.</x:v>
      </x:c>
      <x:c r="M16" s="14" t="str">
        <x:v>Pass - the public repo now explains what Alpha Circle membership unlocks instead of only describing the invite mechanics.</x:v>
      </x:c>
      <x:c r="N16" s="14" t="str"/>
      <x:c r="O16" s="14" t="str">
        <x:v>None</x:v>
      </x:c>
      <x:c r="P16" s="14" t="str">
        <x:v>No</x:v>
      </x:c>
      <x:c r="Q16" s="14" t="str"/>
      <x:c r="R16" s="14" t="str">
        <x:v>src/app.js, README.md, CHANGELOG.md, feature_status_tracker.csv</x:v>
      </x:c>
      <x:c r="S16" s="14" t="str">
        <x:v>9165df3</x:v>
      </x:c>
      <x:c r="T16" s="14" t="str">
        <x:v>Rebuild the Lit bundle, regenerate workbook and report, and confirm the new Alpha Circle row is reflected in the repo QA outputs.</x:v>
      </x:c>
      <x:c r="U16" s="14" t="str">
        <x:v>Pass - Lit bundle, workbook, and report regenerated successfully after expanding the Alpha Circle public surface.</x:v>
      </x:c>
      <x:c r="V16" s="14" t="str">
        <x:v>Verified</x:v>
      </x:c>
      <x:c r="W16" s="14" t="str">
        <x:v>No</x:v>
      </x:c>
      <x:c r="X16" s="14" t="str">
        <x:v>This row captures the expanded membership offer explanation added in the current pass.</x:v>
      </x:c>
      <x:c r="Y1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7" ht="22" customHeight="1">
      <x:c r="A17" s="14" t="str">
        <x:v>F-016</x:v>
      </x:c>
      <x:c r="B17" s="14" t="str">
        <x:v>Referral System Surface</x:v>
      </x:c>
      <x:c r="C17" s="14" t="str">
        <x:v>Membership / Referral</x:v>
      </x:c>
      <x:c r="D17" s="14" t="str">
        <x:v>src/app.js, README.md</x:v>
      </x:c>
      <x:c r="E17" s="14" t="str">
        <x:v>Referral System panel and README referral section</x:v>
      </x:c>
      <x:c r="F17" s="14" t="str">
        <x:v>Visitor</x:v>
      </x:c>
      <x:c r="G17" s="14" t="str">
        <x:v>As a serious operator considering Alpha, I want the referral rules explained so that I know how the MCP credit incentive works and what kind of referral counts.</x:v>
      </x:c>
      <x:c r="H17" s="14" t="str">
        <x:v>The public repo should explain that referrals count when the referred person becomes an Alpha Circle member and that founding-member referrals can earn additional MCP credits.</x:v>
      </x:c>
      <x:c r="I17" s="14" t="str">
        <x:v>Code inspection confirms the site now includes a Referral System panel and the README contains a matching referral section covering Alpha-member conversion and MCP credit language.</x:v>
      </x:c>
      <x:c r="J17" s="14" t="str">
        <x:v>Verified</x:v>
      </x:c>
      <x:c r="K17" s="14" t="str">
        <x:v>Code inspection</x:v>
      </x:c>
      <x:c r="L17" s="14" t="str">
        <x:v>Inspect the Referral System panel in src/app.js and the Referral System section in README.md for Alpha-member conversion and MCP credit messaging.</x:v>
      </x:c>
      <x:c r="M17" s="14" t="str">
        <x:v>Pass - the referral loop is now visible on both the site and README instead of being left implicit.</x:v>
      </x:c>
      <x:c r="N17" s="14" t="str"/>
      <x:c r="O17" s="14" t="str">
        <x:v>None</x:v>
      </x:c>
      <x:c r="P17" s="14" t="str">
        <x:v>No</x:v>
      </x:c>
      <x:c r="Q17" s="14" t="str"/>
      <x:c r="R17" s="14" t="str">
        <x:v>src/app.js, README.md, CHANGELOG.md, feature_status_tracker.csv</x:v>
      </x:c>
      <x:c r="S17" s="14" t="str">
        <x:v>9165df3</x:v>
      </x:c>
      <x:c r="T17" s="14" t="str">
        <x:v>Rebuild the Lit bundle, regenerate workbook and report, and confirm the new referral row is reflected in the repo QA outputs.</x:v>
      </x:c>
      <x:c r="U17" s="14" t="str">
        <x:v>Pass - Lit bundle, workbook, and report regenerated successfully after expanding the Alpha Circle public surface.</x:v>
      </x:c>
      <x:c r="V17" s="14" t="str">
        <x:v>Verified</x:v>
      </x:c>
      <x:c r="W17" s="14" t="str">
        <x:v>No</x:v>
      </x:c>
      <x:c r="X17" s="14" t="str">
        <x:v>This row captures the public referral-system explanation requested in the current pass.</x:v>
      </x:c>
      <x:c r="Y1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8" ht="22" customHeight="1">
      <x:c r="A18" s="14" t="str">
        <x:v>F-017</x:v>
      </x:c>
      <x:c r="B18" s="14" t="str">
        <x:v>Substack Join Links</x:v>
      </x:c>
      <x:c r="C18" s="14" t="str">
        <x:v>Membership / External Navigation</x:v>
      </x:c>
      <x:c r="D18" s="14" t="str">
        <x:v>src/app.js, README.md</x:v>
      </x:c>
      <x:c r="E18" s="14" t="str">
        <x:v>Join Links panel, access-flow helper copy, README join links section</x:v>
      </x:c>
      <x:c r="F18" s="14" t="str">
        <x:v>Visitor</x:v>
      </x:c>
      <x:c r="G18" s="14" t="str">
        <x:v>As a prospective member, I want the exact DeltaSignal and Alpha Circle note links so that I know where to subscribe and where to read the public explanation before joining.</x:v>
      </x:c>
      <x:c r="H18" s="14" t="str">
        <x:v>The public repo should link directly to the DeltaSignal Substack home and the Alpha Circle note in both the site and README.</x:v>
      </x:c>
      <x:c r="I18" s="14" t="str">
        <x:v>Code inspection confirms the site now exposes both the DeltaSignal Substack and Alpha Circle note links in the Join Links panel and access-flow copy, and the README contains the same join links.</x:v>
      </x:c>
      <x:c r="J18" s="14" t="str">
        <x:v>Verified</x:v>
      </x:c>
      <x:c r="K18" s="14" t="str">
        <x:v>Code inspection</x:v>
      </x:c>
      <x:c r="L18" s="14" t="str">
        <x:v>Inspect the Join Links panel and access-flow copy in src/app.js, then inspect README.md for the Join Links section and exact targets.</x:v>
      </x:c>
      <x:c r="M18" s="14" t="str">
        <x:v>Pass - the exact Substack entry points for joining and reading the note are now explicit in both site and README.</x:v>
      </x:c>
      <x:c r="N18" s="14" t="str"/>
      <x:c r="O18" s="14" t="str">
        <x:v>None</x:v>
      </x:c>
      <x:c r="P18" s="14" t="str">
        <x:v>No</x:v>
      </x:c>
      <x:c r="Q18" s="14" t="str"/>
      <x:c r="R18" s="14" t="str">
        <x:v>src/app.js, README.md, CHANGELOG.md, feature_status_tracker.csv</x:v>
      </x:c>
      <x:c r="S18" s="14" t="str">
        <x:v>9165df3</x:v>
      </x:c>
      <x:c r="T18" s="14" t="str">
        <x:v>Rebuild the Lit bundle, regenerate workbook and report, and confirm the new Substack links row is reflected in the repo QA outputs.</x:v>
      </x:c>
      <x:c r="U18" s="14" t="str">
        <x:v>Pass - Lit bundle, workbook, and report regenerated successfully after expanding the Alpha Circle public surface.</x:v>
      </x:c>
      <x:c r="V18" s="14" t="str">
        <x:v>Verified</x:v>
      </x:c>
      <x:c r="W18" s="14" t="str">
        <x:v>No</x:v>
      </x:c>
      <x:c r="X18" s="14" t="str">
        <x:v>This row captures the explicit DeltaSignal and Alpha Circle note links added in the current pass.</x:v>
      </x:c>
      <x:c r="Y1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9" ht="22" customHeight="1">
      <x:c r="A19" s="14"/>
      <x:c r="B19" s="14"/>
      <x:c r="C19" s="14"/>
      <x:c r="D19" s="14"/>
      <x:c r="E19" s="14"/>
      <x:c r="F19" s="14"/>
      <x:c r="G19" s="14"/>
      <x:c r="H19" s="14"/>
      <x:c r="I19" s="14"/>
      <x:c r="J19" s="14"/>
      <x:c r="K19" s="14"/>
      <x:c r="L19" s="14"/>
      <x:c r="M19" s="14"/>
      <x:c r="N19" s="14"/>
      <x:c r="O19" s="14"/>
      <x:c r="P19" s="14"/>
      <x:c r="Q19" s="14"/>
      <x:c r="R19" s="14"/>
      <x:c r="S19" s="14"/>
      <x:c r="T19" s="14"/>
      <x:c r="U19" s="14"/>
      <x:c r="V19" s="14"/>
      <x:c r="W19" s="14"/>
      <x:c r="X19" s="14"/>
      <x:c r="Y19" s="14"/>
    </x:row>
    <x:row r="20" ht="22" customHeight="1">
      <x:c r="A20" s="14"/>
      <x:c r="B20" s="14"/>
      <x:c r="C20" s="14"/>
      <x:c r="D20" s="14"/>
      <x:c r="E20" s="14"/>
      <x:c r="F20" s="14"/>
      <x:c r="G20" s="14"/>
      <x:c r="H20" s="14"/>
      <x:c r="I20" s="14"/>
      <x:c r="J20" s="14"/>
      <x:c r="K20" s="14"/>
      <x:c r="L20" s="14"/>
      <x:c r="M20" s="14"/>
      <x:c r="N20" s="14"/>
      <x:c r="O20" s="14"/>
      <x:c r="P20" s="14"/>
      <x:c r="Q20" s="14"/>
      <x:c r="R20" s="14"/>
      <x:c r="S20" s="14"/>
      <x:c r="T20" s="14"/>
      <x:c r="U20" s="14"/>
      <x:c r="V20" s="14"/>
      <x:c r="W20" s="14"/>
      <x:c r="X20" s="14"/>
      <x:c r="Y20" s="14"/>
    </x:row>
    <x:row r="21">
      <x:c r="A21" s="14"/>
      <x:c r="B21" s="14"/>
      <x:c r="C21" s="14"/>
      <x:c r="D21" s="14"/>
      <x:c r="E21" s="14"/>
      <x:c r="F21" s="14"/>
      <x:c r="G21" s="14"/>
      <x:c r="H21" s="14"/>
      <x:c r="I21" s="14"/>
      <x:c r="J21" s="14"/>
      <x:c r="K21" s="14"/>
      <x:c r="L21" s="14"/>
      <x:c r="M21" s="14"/>
      <x:c r="N21" s="14"/>
      <x:c r="O21" s="14"/>
      <x:c r="P21" s="14"/>
      <x:c r="Q21" s="14"/>
      <x:c r="R21" s="14"/>
      <x:c r="S21" s="14"/>
      <x:c r="T21" s="14"/>
      <x:c r="U21" s="14"/>
      <x:c r="V21" s="14"/>
      <x:c r="W21" s="14"/>
      <x:c r="X21" s="14"/>
      <x:c r="Y21" s="14"/>
    </x:row>
    <x:row r="22">
      <x:c r="A22" s="14"/>
      <x:c r="B22" s="14"/>
      <x:c r="C22" s="14"/>
      <x:c r="D22" s="14"/>
      <x:c r="E22" s="14"/>
      <x:c r="F22" s="14"/>
      <x:c r="G22" s="14"/>
      <x:c r="H22" s="14"/>
      <x:c r="I22" s="14"/>
      <x:c r="J22" s="14"/>
      <x:c r="K22" s="14"/>
      <x:c r="L22" s="14"/>
      <x:c r="M22" s="14"/>
      <x:c r="N22" s="14"/>
      <x:c r="O22" s="14"/>
      <x:c r="P22" s="14"/>
      <x:c r="Q22" s="14"/>
      <x:c r="R22" s="14"/>
      <x:c r="S22" s="14"/>
      <x:c r="T22" s="14"/>
      <x:c r="U22" s="14"/>
      <x:c r="V22" s="14"/>
      <x:c r="W22" s="14"/>
      <x:c r="X22" s="14"/>
      <x:c r="Y22" s="14"/>
    </x:row>
    <x:row r="23">
      <x:c r="A23" s="14"/>
      <x:c r="B23" s="14"/>
      <x:c r="C23" s="14"/>
      <x:c r="D23" s="14"/>
      <x:c r="E23" s="14"/>
      <x:c r="F23" s="14"/>
      <x:c r="G23" s="14"/>
      <x:c r="H23" s="14"/>
      <x:c r="I23" s="14"/>
      <x:c r="J23" s="14"/>
      <x:c r="K23" s="14"/>
      <x:c r="L23" s="14"/>
      <x:c r="M23" s="14"/>
      <x:c r="N23" s="14"/>
      <x:c r="O23" s="14"/>
      <x:c r="P23" s="14"/>
      <x:c r="Q23" s="14"/>
      <x:c r="R23" s="14"/>
      <x:c r="S23" s="14"/>
      <x:c r="T23" s="14"/>
      <x:c r="U23" s="14"/>
      <x:c r="V23" s="14"/>
      <x:c r="W23" s="14"/>
      <x:c r="X23" s="14"/>
      <x:c r="Y23" s="14"/>
    </x:row>
    <x:row r="24">
      <x:c r="A24" s="14"/>
      <x:c r="B24" s="14"/>
      <x:c r="C24" s="14"/>
      <x:c r="D24" s="14"/>
      <x:c r="E24" s="14"/>
      <x:c r="F24" s="14"/>
      <x:c r="G24" s="14"/>
      <x:c r="H24" s="14"/>
      <x:c r="I24" s="14"/>
      <x:c r="J24" s="14"/>
      <x:c r="K24" s="14"/>
      <x:c r="L24" s="14"/>
      <x:c r="M24" s="14"/>
      <x:c r="N24" s="14"/>
      <x:c r="O24" s="14"/>
      <x:c r="P24" s="14"/>
      <x:c r="Q24" s="14"/>
      <x:c r="R24" s="14"/>
      <x:c r="S24" s="14"/>
      <x:c r="T24" s="14"/>
      <x:c r="U24" s="14"/>
      <x:c r="V24" s="14"/>
      <x:c r="W24" s="14"/>
      <x:c r="X24" s="14"/>
      <x:c r="Y24" s="14"/>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17</x:v>
      </x:c>
      <x:c r="D4" s="21" t="str">
        <x:v>Critical</x:v>
      </x:c>
      <x:c r="E4" s="21" t="n">
        <x:f>COUNTIF('Tracker'!$O$2:$O$400,"Critical")</x:f>
        <x:v>0</x:v>
      </x:c>
    </x:row>
    <x:row r="5" ht="22" customHeight="1">
      <x:c r="A5" s="21" t="str">
        <x:v>Current Verified</x:v>
      </x:c>
      <x:c r="B5" s="21" t="n">
        <x:f>COUNTIF('Tracker'!$J$2:$J$400,"Verified")</x:f>
        <x:v>17</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17</x:v>
      </x:c>
      <x:c r="D9" s="21" t="str">
        <x:v>Rows With Commit Hash</x:v>
      </x:c>
      <x:c r="E9" s="21" t="n">
        <x:f>COUNTA('Tracker'!$S$2:$S$400)</x:f>
        <x:v>17</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